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ed Data" sheetId="1" state="visible" r:id="rId3"/>
    <sheet name="Summar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<sst xmlns="http://schemas.openxmlformats.org/spreadsheetml/2006/main" count="99" uniqueCount="61">
  <si>
    <t xml:space="preserve">Company Name</t>
  </si>
  <si>
    <t xml:space="preserve">Ticker</t>
  </si>
  <si>
    <t xml:space="preserve">Fiscal Year</t>
  </si>
  <si>
    <t xml:space="preserve">Fiscal Year End</t>
  </si>
  <si>
    <t xml:space="preserve">Total Revenue</t>
  </si>
  <si>
    <t xml:space="preserve">Net Income</t>
  </si>
  <si>
    <t xml:space="preserve">Total Assets</t>
  </si>
  <si>
    <t xml:space="preserve">Total Liabilities</t>
  </si>
  <si>
    <t xml:space="preserve">Cash Flow from Operating Activities</t>
  </si>
  <si>
    <t xml:space="preserve">Revenue Growth (%)</t>
  </si>
  <si>
    <t xml:space="preserve">Net Income Growth (%)</t>
  </si>
  <si>
    <t xml:space="preserve">Operating Cash Flow Growth (%)</t>
  </si>
  <si>
    <t xml:space="preserve">Profit Margin (%)</t>
  </si>
  <si>
    <t xml:space="preserve">Liabilities / Assets (%)</t>
  </si>
  <si>
    <t xml:space="preserve">Source URL</t>
  </si>
  <si>
    <t xml:space="preserve">Microsoft</t>
  </si>
  <si>
    <t xml:space="preserve">MSFT</t>
  </si>
  <si>
    <t xml:space="preserve">2023-06-30</t>
  </si>
  <si>
    <t xml:space="preserve">https://www.microsoft.com/investor/reports/ar25/index.html</t>
  </si>
  <si>
    <t xml:space="preserve">2024-06-30</t>
  </si>
  <si>
    <t xml:space="preserve">2025-06-30</t>
  </si>
  <si>
    <t xml:space="preserve">Tesla</t>
  </si>
  <si>
    <t xml:space="preserve">TSLA</t>
  </si>
  <si>
    <t xml:space="preserve">2023-12-31</t>
  </si>
  <si>
    <t xml:space="preserve">https://stocklight.com/stocks/us/nasdaq-tsla/tesla/annual-reports/nasdaq-tsla-2026-10K-26574326.pdf</t>
  </si>
  <si>
    <t xml:space="preserve">2024-12-31</t>
  </si>
  <si>
    <t xml:space="preserve">2025-12-31</t>
  </si>
  <si>
    <t xml:space="preserve">Apple</t>
  </si>
  <si>
    <t xml:space="preserve">AAPL</t>
  </si>
  <si>
    <t xml:space="preserve">2023-09-30</t>
  </si>
  <si>
    <t xml:space="preserve">https://www.sec.gov/Archives/edgar/data/320193/000032019325000079/aapl-20250927.htm</t>
  </si>
  <si>
    <t xml:space="preserve">2024-09-28</t>
  </si>
  <si>
    <t xml:space="preserve">2025-09-27</t>
  </si>
  <si>
    <t xml:space="preserve">Financial Data Analysis Summary</t>
  </si>
  <si>
    <t xml:space="preserve">Company</t>
  </si>
  <si>
    <t xml:space="preserve">2025 Revenue</t>
  </si>
  <si>
    <t xml:space="preserve">2025 Net Income</t>
  </si>
  <si>
    <t xml:space="preserve">Revenue CAGR 2023-2025</t>
  </si>
  <si>
    <t xml:space="preserve">Net Income CAGR 2023-2025</t>
  </si>
  <si>
    <t xml:space="preserve">Avg Revenue Growth</t>
  </si>
  <si>
    <t xml:space="preserve">Avg Net Income Growth</t>
  </si>
  <si>
    <t xml:space="preserve">2025 Profit Margin</t>
  </si>
  <si>
    <t xml:space="preserve">Interpretation</t>
  </si>
  <si>
    <t xml:space="preserve">Strong growth across revenue, net income, and operating cash flow; profitability remained high.</t>
  </si>
  <si>
    <t xml:space="preserve">Revenue was relatively flat to down, while net income declined sharply; operating cash flow stayed positive.</t>
  </si>
  <si>
    <t xml:space="preserve">Revenue and net income improved in 2025, but operating cash flow dipped from 2024 while remaining very strong.</t>
  </si>
  <si>
    <t xml:space="preserve">Fiscal Years Used</t>
  </si>
  <si>
    <t xml:space="preserve">Primary Source URL</t>
  </si>
  <si>
    <t xml:space="preserve">Notes</t>
  </si>
  <si>
    <t xml:space="preserve">FY2023-FY2025</t>
  </si>
  <si>
    <t xml:space="preserve">2025 annual report gives income statement and cash flow for FY2023-FY2025; FY2023 balance sheet from FY2024 report.</t>
  </si>
  <si>
    <t xml:space="preserve">Microsoft supplemental</t>
  </si>
  <si>
    <t xml:space="preserve">FY2023 balance sheet</t>
  </si>
  <si>
    <t xml:space="preserve">https://www.microsoft.com/en-us/Investor/earnings/FY-2024-Q4/balance-sheets</t>
  </si>
  <si>
    <t xml:space="preserve">Used for 2023 total assets and liabilities.</t>
  </si>
  <si>
    <t xml:space="preserve">2025 10-K shows all three years; FY2023 balance sheet corroborated from 2024 10-K.</t>
  </si>
  <si>
    <t xml:space="preserve">Tesla supplemental</t>
  </si>
  <si>
    <t xml:space="preserve">https://stocklight.com/stocks/us/nasdaq-tsla/tesla/annual-reports/nasdaq-tsla-2025-10K-25570807.pdf</t>
  </si>
  <si>
    <t xml:space="preserve">2025 10-K; FY2023 balance sheet from 2024 10-K.</t>
  </si>
  <si>
    <t xml:space="preserve">Apple supplemental</t>
  </si>
  <si>
    <t xml:space="preserve">https://www.sec.gov/Archives/edgar/data/320193/000032019324000123/aapl-20240928.htm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</si>
</sst>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25"/>
    <col collapsed="false" customWidth="true" hidden="false" outlineLevel="0" max="13" min="13" style="0" width="15"/>
    <col collapsed="false" customWidth="true" hidden="false" outlineLevel="0" max="14" min="14" style="0" width="18"/>
    <col collapsed="false" customWidth="true" hidden="false" outlineLevel="0" max="15" min="15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n">
        <v>2023</v>
      </c>
      <c r="D2" s="2" t="s">
        <v>17</v>
      </c>
      <c r="E2" s="2" t="n">
        <v>211915</v>
      </c>
      <c r="F2" s="2" t="n">
        <v>72361</v>
      </c>
      <c r="G2" s="2" t="n">
        <v>411976</v>
      </c>
      <c r="H2" s="2" t="n">
        <v>205753</v>
      </c>
      <c r="I2" s="2" t="n">
        <v>87582</v>
      </c>
      <c r="J2" s="3"/>
      <c r="K2" s="3"/>
      <c r="L2" s="3"/>
      <c r="M2" s="3" t="n">
        <f aca="false">F2/E2</f>
        <v>0.341462378783946</v>
      </c>
      <c r="N2" s="3" t="n">
        <f aca="false">H2/G2</f>
        <v>0.499429578422044</v>
      </c>
      <c r="O2" s="4" t="s">
        <v>18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n">
        <v>2024</v>
      </c>
      <c r="D3" s="2" t="s">
        <v>19</v>
      </c>
      <c r="E3" s="2" t="n">
        <v>245122</v>
      </c>
      <c r="F3" s="2" t="n">
        <v>88136</v>
      </c>
      <c r="G3" s="2" t="n">
        <v>512163</v>
      </c>
      <c r="H3" s="2" t="n">
        <v>243686</v>
      </c>
      <c r="I3" s="2" t="n">
        <v>118548</v>
      </c>
      <c r="J3" s="3" t="n">
        <f aca="false">IF(E2=0,"",(E3-E2)/E2)</f>
        <v>0.156699620130713</v>
      </c>
      <c r="K3" s="3" t="n">
        <f aca="false">IF(F2=0,"",(F3-F2)/F2)</f>
        <v>0.218004173518885</v>
      </c>
      <c r="L3" s="3" t="n">
        <f aca="false">IF(I2=0,"",(I3-I2)/I2)</f>
        <v>0.353565801192026</v>
      </c>
      <c r="M3" s="3" t="n">
        <f aca="false">F3/E3</f>
        <v>0.35955972944085</v>
      </c>
      <c r="N3" s="3" t="n">
        <f aca="false">H3/G3</f>
        <v>0.475797744077569</v>
      </c>
      <c r="O3" s="4" t="s">
        <v>18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n">
        <v>2025</v>
      </c>
      <c r="D4" s="2" t="s">
        <v>20</v>
      </c>
      <c r="E4" s="2" t="n">
        <v>281724</v>
      </c>
      <c r="F4" s="2" t="n">
        <v>101832</v>
      </c>
      <c r="G4" s="2" t="n">
        <v>619003</v>
      </c>
      <c r="H4" s="2" t="n">
        <v>275524</v>
      </c>
      <c r="I4" s="2" t="n">
        <v>136162</v>
      </c>
      <c r="J4" s="3" t="n">
        <f aca="false">IF(E3=0,"",(E4-E3)/E3)</f>
        <v>0.149321562324067</v>
      </c>
      <c r="K4" s="3" t="n">
        <f aca="false">IF(F3=0,"",(F4-F3)/F3)</f>
        <v>0.155396205863665</v>
      </c>
      <c r="L4" s="3" t="n">
        <f aca="false">IF(I3=0,"",(I4-I3)/I3)</f>
        <v>0.148581165435098</v>
      </c>
      <c r="M4" s="3" t="n">
        <f aca="false">F4/E4</f>
        <v>0.361460152489671</v>
      </c>
      <c r="N4" s="3" t="n">
        <f aca="false">H4/G4</f>
        <v>0.445109312878936</v>
      </c>
      <c r="O4" s="4" t="s">
        <v>18</v>
      </c>
    </row>
    <row r="5" customFormat="false" ht="23.85" hidden="false" customHeight="false" outlineLevel="0" collapsed="false">
      <c r="A5" s="2" t="s">
        <v>21</v>
      </c>
      <c r="B5" s="2" t="s">
        <v>22</v>
      </c>
      <c r="C5" s="2" t="n">
        <v>2023</v>
      </c>
      <c r="D5" s="2" t="s">
        <v>23</v>
      </c>
      <c r="E5" s="2" t="n">
        <v>96773</v>
      </c>
      <c r="F5" s="2" t="n">
        <v>14974</v>
      </c>
      <c r="G5" s="2" t="n">
        <v>106618</v>
      </c>
      <c r="H5" s="2" t="n">
        <v>43009</v>
      </c>
      <c r="I5" s="2" t="n">
        <v>13256</v>
      </c>
      <c r="J5" s="3"/>
      <c r="K5" s="3"/>
      <c r="L5" s="3"/>
      <c r="M5" s="3" t="n">
        <f aca="false">F5/E5</f>
        <v>0.154733241709981</v>
      </c>
      <c r="N5" s="3" t="n">
        <f aca="false">H5/G5</f>
        <v>0.403393423249358</v>
      </c>
      <c r="O5" s="4" t="s">
        <v>24</v>
      </c>
    </row>
    <row r="6" customFormat="false" ht="23.85" hidden="false" customHeight="false" outlineLevel="0" collapsed="false">
      <c r="A6" s="2" t="s">
        <v>21</v>
      </c>
      <c r="B6" s="2" t="s">
        <v>22</v>
      </c>
      <c r="C6" s="2" t="n">
        <v>2024</v>
      </c>
      <c r="D6" s="2" t="s">
        <v>25</v>
      </c>
      <c r="E6" s="2" t="n">
        <v>97690</v>
      </c>
      <c r="F6" s="2" t="n">
        <v>7153</v>
      </c>
      <c r="G6" s="2" t="n">
        <v>122070</v>
      </c>
      <c r="H6" s="2" t="n">
        <v>48390</v>
      </c>
      <c r="I6" s="2" t="n">
        <v>14923</v>
      </c>
      <c r="J6" s="3" t="n">
        <f aca="false">IF(E5=0,"",(E6-E5)/E5)</f>
        <v>0.00947578353466359</v>
      </c>
      <c r="K6" s="3" t="n">
        <f aca="false">IF(F5=0,"",(F6-F5)/F5)</f>
        <v>-0.522305329237345</v>
      </c>
      <c r="L6" s="3" t="n">
        <f aca="false">IF(I5=0,"",(I6-I5)/I5)</f>
        <v>0.125754375377188</v>
      </c>
      <c r="M6" s="3" t="n">
        <f aca="false">F6/E6</f>
        <v>0.0732214146790869</v>
      </c>
      <c r="N6" s="3" t="n">
        <f aca="false">H6/G6</f>
        <v>0.396411894814451</v>
      </c>
      <c r="O6" s="4" t="s">
        <v>24</v>
      </c>
    </row>
    <row r="7" customFormat="false" ht="23.85" hidden="false" customHeight="false" outlineLevel="0" collapsed="false">
      <c r="A7" s="2" t="s">
        <v>21</v>
      </c>
      <c r="B7" s="2" t="s">
        <v>22</v>
      </c>
      <c r="C7" s="2" t="n">
        <v>2025</v>
      </c>
      <c r="D7" s="2" t="s">
        <v>26</v>
      </c>
      <c r="E7" s="2" t="n">
        <v>94827</v>
      </c>
      <c r="F7" s="2" t="n">
        <v>3855</v>
      </c>
      <c r="G7" s="2" t="n">
        <v>137806</v>
      </c>
      <c r="H7" s="2" t="n">
        <v>54941</v>
      </c>
      <c r="I7" s="2" t="n">
        <v>14747</v>
      </c>
      <c r="J7" s="3" t="n">
        <f aca="false">IF(E6=0,"",(E7-E6)/E6)</f>
        <v>-0.0293069915037363</v>
      </c>
      <c r="K7" s="3" t="n">
        <f aca="false">IF(F6=0,"",(F7-F6)/F6)</f>
        <v>-0.461065287292045</v>
      </c>
      <c r="L7" s="3" t="n">
        <f aca="false">IF(I6=0,"",(I7-I6)/I6)</f>
        <v>-0.011793875226161</v>
      </c>
      <c r="M7" s="3" t="n">
        <f aca="false">F7/E7</f>
        <v>0.0406529785820494</v>
      </c>
      <c r="N7" s="3" t="n">
        <f aca="false">H7/G7</f>
        <v>0.39868365673483</v>
      </c>
      <c r="O7" s="4" t="s">
        <v>24</v>
      </c>
    </row>
    <row r="8" customFormat="false" ht="23.85" hidden="false" customHeight="false" outlineLevel="0" collapsed="false">
      <c r="A8" s="2" t="s">
        <v>27</v>
      </c>
      <c r="B8" s="2" t="s">
        <v>28</v>
      </c>
      <c r="C8" s="2" t="n">
        <v>2023</v>
      </c>
      <c r="D8" s="2" t="s">
        <v>29</v>
      </c>
      <c r="E8" s="2" t="n">
        <v>383285</v>
      </c>
      <c r="F8" s="2" t="n">
        <v>96995</v>
      </c>
      <c r="G8" s="2" t="n">
        <v>352583</v>
      </c>
      <c r="H8" s="2" t="n">
        <v>290437</v>
      </c>
      <c r="I8" s="2" t="n">
        <v>110543</v>
      </c>
      <c r="J8" s="3"/>
      <c r="K8" s="3"/>
      <c r="L8" s="3"/>
      <c r="M8" s="3" t="n">
        <f aca="false">F8/E8</f>
        <v>0.253062342643203</v>
      </c>
      <c r="N8" s="3" t="n">
        <f aca="false">H8/G8</f>
        <v>0.823740792948044</v>
      </c>
      <c r="O8" s="4" t="s">
        <v>30</v>
      </c>
    </row>
    <row r="9" customFormat="false" ht="23.85" hidden="false" customHeight="false" outlineLevel="0" collapsed="false">
      <c r="A9" s="2" t="s">
        <v>27</v>
      </c>
      <c r="B9" s="2" t="s">
        <v>28</v>
      </c>
      <c r="C9" s="2" t="n">
        <v>2024</v>
      </c>
      <c r="D9" s="2" t="s">
        <v>31</v>
      </c>
      <c r="E9" s="2" t="n">
        <v>391035</v>
      </c>
      <c r="F9" s="2" t="n">
        <v>93736</v>
      </c>
      <c r="G9" s="2" t="n">
        <v>364980</v>
      </c>
      <c r="H9" s="2" t="n">
        <v>308030</v>
      </c>
      <c r="I9" s="2" t="n">
        <v>118254</v>
      </c>
      <c r="J9" s="3" t="n">
        <f aca="false">IF(E8=0,"",(E9-E8)/E8)</f>
        <v>0.0202199407751412</v>
      </c>
      <c r="K9" s="3" t="n">
        <f aca="false">IF(F8=0,"",(F9-F8)/F8)</f>
        <v>-0.0335996700860869</v>
      </c>
      <c r="L9" s="3" t="n">
        <f aca="false">IF(I8=0,"",(I9-I8)/I8)</f>
        <v>0.0697556606931239</v>
      </c>
      <c r="M9" s="3" t="n">
        <f aca="false">F9/E9</f>
        <v>0.239712557699439</v>
      </c>
      <c r="N9" s="3" t="n">
        <f aca="false">H9/G9</f>
        <v>0.843964052824812</v>
      </c>
      <c r="O9" s="4" t="s">
        <v>30</v>
      </c>
    </row>
    <row r="10" customFormat="false" ht="23.85" hidden="false" customHeight="false" outlineLevel="0" collapsed="false">
      <c r="A10" s="2" t="s">
        <v>27</v>
      </c>
      <c r="B10" s="2" t="s">
        <v>28</v>
      </c>
      <c r="C10" s="2" t="n">
        <v>2025</v>
      </c>
      <c r="D10" s="2" t="s">
        <v>32</v>
      </c>
      <c r="E10" s="2" t="n">
        <v>416161</v>
      </c>
      <c r="F10" s="2" t="n">
        <v>112010</v>
      </c>
      <c r="G10" s="2" t="n">
        <v>359241</v>
      </c>
      <c r="H10" s="2" t="n">
        <v>285508</v>
      </c>
      <c r="I10" s="2" t="n">
        <v>111482</v>
      </c>
      <c r="J10" s="3" t="n">
        <f aca="false">IF(E9=0,"",(E10-E9)/E9)</f>
        <v>0.0642551178283274</v>
      </c>
      <c r="K10" s="3" t="n">
        <f aca="false">IF(F9=0,"",(F10-F9)/F9)</f>
        <v>0.194951779465734</v>
      </c>
      <c r="L10" s="3" t="n">
        <f aca="false">IF(I9=0,"",(I10-I9)/I9)</f>
        <v>-0.0572665618076344</v>
      </c>
      <c r="M10" s="3" t="n">
        <f aca="false">F10/E10</f>
        <v>0.269150641218182</v>
      </c>
      <c r="N10" s="3" t="n">
        <f aca="false">H10/G10</f>
        <v>0.794753382826571</v>
      </c>
      <c r="O10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1" t="s">
        <v>34</v>
      </c>
      <c r="B2" s="1" t="s">
        <v>1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customFormat="false" ht="23.85" hidden="false" customHeight="false" outlineLevel="0" collapsed="false">
      <c r="A3" s="6" t="s">
        <v>15</v>
      </c>
      <c r="B3" s="6" t="s">
        <v>16</v>
      </c>
      <c r="C3" s="7" t="n">
        <v>281724</v>
      </c>
      <c r="D3" s="7" t="n">
        <v>101832</v>
      </c>
      <c r="E3" s="3" t="n">
        <f aca="false">('Extracted Data'!E4-'Extracted Data'!E2)/'Extracted Data'!E2</f>
        <v>0.329419814548286</v>
      </c>
      <c r="F3" s="3" t="n">
        <f aca="false">('Extracted Data'!F4-'Extracted Data'!F2)/'Extracted Data'!F2</f>
        <v>0.407277400809829</v>
      </c>
      <c r="G3" s="3" t="n">
        <f aca="false">AVERAGE('Extracted Data'!J3:J4)</f>
        <v>0.15301059122739</v>
      </c>
      <c r="H3" s="3" t="n">
        <f aca="false">AVERAGE('Extracted Data'!K3:K4)</f>
        <v>0.186700189691275</v>
      </c>
      <c r="I3" s="3" t="n">
        <f aca="false">'Extracted Data'!M4</f>
        <v>0.361460152489671</v>
      </c>
      <c r="J3" s="6" t="s">
        <v>43</v>
      </c>
    </row>
    <row r="4" customFormat="false" ht="23.85" hidden="false" customHeight="false" outlineLevel="0" collapsed="false">
      <c r="A4" s="6" t="s">
        <v>21</v>
      </c>
      <c r="B4" s="6" t="s">
        <v>22</v>
      </c>
      <c r="C4" s="7" t="n">
        <v>94827</v>
      </c>
      <c r="D4" s="7" t="n">
        <v>3855</v>
      </c>
      <c r="E4" s="3" t="n">
        <f aca="false">('Extracted Data'!E7-'Extracted Data'!E5)/'Extracted Data'!E5</f>
        <v>-0.0201089146766143</v>
      </c>
      <c r="F4" s="3" t="n">
        <f aca="false">('Extracted Data'!F7-'Extracted Data'!F5)/'Extracted Data'!F5</f>
        <v>-0.742553759850407</v>
      </c>
      <c r="G4" s="3" t="n">
        <f aca="false">AVERAGE('Extracted Data'!J6:J7)</f>
        <v>-0.00991560398453636</v>
      </c>
      <c r="H4" s="3" t="n">
        <f aca="false">AVERAGE('Extracted Data'!K6:K7)</f>
        <v>-0.491685308264695</v>
      </c>
      <c r="I4" s="3" t="n">
        <f aca="false">'Extracted Data'!M7</f>
        <v>0.0406529785820494</v>
      </c>
      <c r="J4" s="6" t="s">
        <v>44</v>
      </c>
    </row>
    <row r="5" customFormat="false" ht="23.85" hidden="false" customHeight="false" outlineLevel="0" collapsed="false">
      <c r="A5" s="6" t="s">
        <v>27</v>
      </c>
      <c r="B5" s="6" t="s">
        <v>28</v>
      </c>
      <c r="C5" s="7" t="n">
        <v>416161</v>
      </c>
      <c r="D5" s="7" t="n">
        <v>112010</v>
      </c>
      <c r="E5" s="3" t="n">
        <f aca="false">('Extracted Data'!E10-'Extracted Data'!E8)/'Extracted Data'!E8</f>
        <v>0.0857742932804571</v>
      </c>
      <c r="F5" s="3" t="n">
        <f aca="false">('Extracted Data'!F10-'Extracted Data'!F8)/'Extracted Data'!F8</f>
        <v>0.154801793906902</v>
      </c>
      <c r="G5" s="3" t="n">
        <f aca="false">AVERAGE('Extracted Data'!J9:J10)</f>
        <v>0.0422375293017343</v>
      </c>
      <c r="H5" s="3" t="n">
        <f aca="false">AVERAGE('Extracted Data'!K9:K10)</f>
        <v>0.0806760546898233</v>
      </c>
      <c r="I5" s="3" t="n">
        <f aca="false">'Extracted Data'!M10</f>
        <v>0.269150641218182</v>
      </c>
      <c r="J5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34</v>
      </c>
      <c r="B1" s="1" t="s">
        <v>46</v>
      </c>
      <c r="C1" s="1" t="s">
        <v>47</v>
      </c>
      <c r="D1" s="1" t="s">
        <v>48</v>
      </c>
    </row>
    <row r="2" customFormat="false" ht="23.85" hidden="false" customHeight="false" outlineLevel="0" collapsed="false">
      <c r="A2" s="6" t="s">
        <v>15</v>
      </c>
      <c r="B2" s="6" t="s">
        <v>49</v>
      </c>
      <c r="C2" s="6" t="s">
        <v>18</v>
      </c>
      <c r="D2" s="6" t="s">
        <v>50</v>
      </c>
    </row>
    <row r="3" customFormat="false" ht="23.85" hidden="false" customHeight="false" outlineLevel="0" collapsed="false">
      <c r="A3" s="6" t="s">
        <v>51</v>
      </c>
      <c r="B3" s="6" t="s">
        <v>52</v>
      </c>
      <c r="C3" s="6" t="s">
        <v>53</v>
      </c>
      <c r="D3" s="6" t="s">
        <v>54</v>
      </c>
    </row>
    <row r="4" customFormat="false" ht="23.85" hidden="false" customHeight="false" outlineLevel="0" collapsed="false">
      <c r="A4" s="6" t="s">
        <v>21</v>
      </c>
      <c r="B4" s="6" t="s">
        <v>49</v>
      </c>
      <c r="C4" s="6" t="s">
        <v>24</v>
      </c>
      <c r="D4" s="6" t="s">
        <v>55</v>
      </c>
    </row>
    <row r="5" customFormat="false" ht="23.85" hidden="false" customHeight="false" outlineLevel="0" collapsed="false">
      <c r="A5" s="6" t="s">
        <v>56</v>
      </c>
      <c r="B5" s="6" t="s">
        <v>52</v>
      </c>
      <c r="C5" s="6" t="s">
        <v>57</v>
      </c>
      <c r="D5" s="6" t="s">
        <v>54</v>
      </c>
    </row>
    <row r="6" customFormat="false" ht="23.85" hidden="false" customHeight="false" outlineLevel="0" collapsed="false">
      <c r="A6" s="6" t="s">
        <v>27</v>
      </c>
      <c r="B6" s="6" t="s">
        <v>49</v>
      </c>
      <c r="C6" s="6" t="s">
        <v>30</v>
      </c>
      <c r="D6" s="6" t="s">
        <v>58</v>
      </c>
    </row>
    <row r="7" customFormat="false" ht="23.85" hidden="false" customHeight="false" outlineLevel="0" collapsed="false">
      <c r="A7" s="6" t="s">
        <v>59</v>
      </c>
      <c r="B7" s="6" t="s">
        <v>52</v>
      </c>
      <c r="C7" s="6" t="s">
        <v>60</v>
      </c>
      <c r="D7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2026-06-01T07:37:06Z</dcterms:created>
  <dc:creator>openpyxl</dc:creator>
  <dc:description/>
  <dc:language>en-US</dc:language>
  <cp:lastModifiedBy/>
  <dcterms:modified xsi:type="dcterms:W3CDTF">2026-06-01T07:37:06Z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